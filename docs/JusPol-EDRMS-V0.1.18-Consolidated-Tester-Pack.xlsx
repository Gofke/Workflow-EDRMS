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est Steps" sheetId="2" state="visible" r:id="rId4"/>
    <sheet name="Accounts" sheetId="3" state="visible" r:id="rId5"/>
    <sheet name="Not in this pack" sheetId="4" state="visible" r:id="rId6"/>
    <sheet name="Evaluation - INTERNAL" sheetId="5" state="hidden"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<sst xmlns="http://schemas.openxmlformats.org/spreadsheetml/2006/main" count="298" uniqueCount="250">
  <si>
    <t xml:space="preserve">JUSPOL EDRMS - CONSOLIDATED TESTER PACK</t>
  </si>
  <si>
    <t xml:space="preserve">Closing a matter, reading and exporting its history, and duplicate warnings  -  covers versions V0.1.13 to V0.1.17</t>
  </si>
  <si>
    <t xml:space="preserve">What you are testing</t>
  </si>
  <si>
    <t xml:space="preserve">Four things added since the Gate 3 pack was written: closing a dossier and reopening it, reading the full history of a matter and downloading it, the warning shown when a record looks like one already registered, and (only if it has been switched on) text read from scanned documents.</t>
  </si>
  <si>
    <t xml:space="preserve">The task in one sentence</t>
  </si>
  <si>
    <t xml:space="preserve">Take a matter all the way to finalised, close the file on it, check that a closed file can be read but not changed, reopen it with a reason, then register a record that looks like one already in the registry and see what the system says.</t>
  </si>
  <si>
    <t xml:space="preserve">What this is</t>
  </si>
  <si>
    <t xml:space="preserve">A list of things to do, one at a time, in order. You do not decide whether something is correct. Do the step, write down what you saw, tick PASS or FAIL, name your screenshot.</t>
  </si>
  <si>
    <t xml:space="preserve">Before you start</t>
  </si>
  <si>
    <t xml:space="preserve">1. Open the test address in Google Chrome. 2. Keep this file open beside the browser. 3. Have a way to take screenshots ready. 4. You will switch between two accounts, so an Incognito window (Ctrl+Shift+N) is useful. 5. For steps 18 to 21 you need Excel or LibreOffice to open a downloaded file.</t>
  </si>
  <si>
    <t xml:space="preserve">About waiting</t>
  </si>
  <si>
    <t xml:space="preserve">Controls appear a moment after a page loads, and some only appear once a list has arrived. If a button is missing, wait two seconds and look again before writing FAIL.</t>
  </si>
  <si>
    <t xml:space="preserve">How to fill this in</t>
  </si>
  <si>
    <t xml:space="preserve">Go to 'Test Steps'. Work top to bottom. Do what 'What to do' says, type exactly what 'What to type' says, then fill the three yellow columns.</t>
  </si>
  <si>
    <t xml:space="preserve">Copy wording exactly</t>
  </si>
  <si>
    <t xml:space="preserve">Several steps ask you to copy a message or a history line word for word. These are the steps that matter most - please copy, do not summarise.</t>
  </si>
  <si>
    <t xml:space="preserve">If you are unsure</t>
  </si>
  <si>
    <t xml:space="preserve">Write PASS only if you are sure. If not, write FAIL and describe exactly what you saw. Never guess, never skip a row.</t>
  </si>
  <si>
    <t xml:space="preserve">Steps 24 to 26</t>
  </si>
  <si>
    <t xml:space="preserve">These only apply if text reading (OCR) has been switched on for the test server. If you were not told it is on, write BLOCKED for those three rows and carry on.</t>
  </si>
  <si>
    <t xml:space="preserve">Sign-in details</t>
  </si>
  <si>
    <t xml:space="preserve">On the 'Accounts' tab. The password for every account is JusPol!Test2026</t>
  </si>
  <si>
    <t xml:space="preserve">When you are finished</t>
  </si>
  <si>
    <t xml:space="preserve">Save this file with your name and date in the filename, put screenshots in one folder, send both to the project manager.</t>
  </si>
  <si>
    <t xml:space="preserve">Summary (fills in automatically as you type your results)</t>
  </si>
  <si>
    <t xml:space="preserve">Steps passed</t>
  </si>
  <si>
    <t xml:space="preserve">Steps failed</t>
  </si>
  <si>
    <t xml:space="preserve">Steps blocked</t>
  </si>
  <si>
    <t xml:space="preserve">Step</t>
  </si>
  <si>
    <t xml:space="preserve">Test ID</t>
  </si>
  <si>
    <t xml:space="preserve">What to do</t>
  </si>
  <si>
    <t xml:space="preserve">What to type</t>
  </si>
  <si>
    <t xml:space="preserve">YOUR OBSERVATION (what you saw)</t>
  </si>
  <si>
    <t xml:space="preserve">RESULT (PASS / FAIL / BLOCKED)</t>
  </si>
  <si>
    <t xml:space="preserve">SCREENSHOT FILE NAME</t>
  </si>
  <si>
    <t xml:space="preserve">e.g.</t>
  </si>
  <si>
    <t xml:space="preserve">C-00 (example)</t>
  </si>
  <si>
    <t xml:space="preserve">This row is an example. Do not fill it in and do not delete it.</t>
  </si>
  <si>
    <t xml:space="preserve">(nothing to type)</t>
  </si>
  <si>
    <t xml:space="preserve">The Dossier line said 'Closed' and the Close dossier button was gone.</t>
  </si>
  <si>
    <t xml:space="preserve">PASS</t>
  </si>
  <si>
    <t xml:space="preserve">step-00.png</t>
  </si>
  <si>
    <t xml:space="preserve">C-01</t>
  </si>
  <si>
    <t xml:space="preserve">Sign in as the assistant. Open a new dossier with the subject shown. Write down the dossier reference the system gives it.</t>
  </si>
  <si>
    <t xml:space="preserve">Subject: Sluitingstest 2026-301</t>
  </si>
  <si>
    <t xml:space="preserve">step-01.png</t>
  </si>
  <si>
    <t xml:space="preserve">C-02</t>
  </si>
  <si>
    <t xml:space="preserve">Still as the assistant, send the matter for review to M. Sardjoe.</t>
  </si>
  <si>
    <t xml:space="preserve">(choose M. Sardjoe from the list)</t>
  </si>
  <si>
    <t xml:space="preserve">step-02.png</t>
  </si>
  <si>
    <t xml:space="preserve">C-03</t>
  </si>
  <si>
    <t xml:space="preserve">Open an Incognito window, sign in as the Directeur, find the dossier and approve it.</t>
  </si>
  <si>
    <t xml:space="preserve">directeur@juspol.test</t>
  </si>
  <si>
    <t xml:space="preserve">step-03.png</t>
  </si>
  <si>
    <t xml:space="preserve">C-04</t>
  </si>
  <si>
    <t xml:space="preserve">Still as the Directeur, click Finalise and confirm.</t>
  </si>
  <si>
    <t xml:space="preserve">step-04.png</t>
  </si>
  <si>
    <t xml:space="preserve">C-05</t>
  </si>
  <si>
    <t xml:space="preserve">Look at the panel. Write down word for word what the 'Dossier' line says, and whether you can see a 'Close dossier' button.</t>
  </si>
  <si>
    <t xml:space="preserve">step-05.png</t>
  </si>
  <si>
    <t xml:space="preserve">C-06</t>
  </si>
  <si>
    <t xml:space="preserve">Switch to the assistant's window, open the same dossier and look for a 'Close dossier' button.</t>
  </si>
  <si>
    <t xml:space="preserve">assistant1@juspol.test</t>
  </si>
  <si>
    <t xml:space="preserve">step-06.png</t>
  </si>
  <si>
    <t xml:space="preserve">C-07</t>
  </si>
  <si>
    <t xml:space="preserve">Back as the Directeur, type the reason shown into the box beside 'Close dossier', then click it and confirm.</t>
  </si>
  <si>
    <t xml:space="preserve">Reason: Zaak afgehandeld</t>
  </si>
  <si>
    <t xml:space="preserve">step-07.png</t>
  </si>
  <si>
    <t xml:space="preserve">C-08</t>
  </si>
  <si>
    <t xml:space="preserve">As the assistant, open the closed dossier. Write down what you can still see: the subject, the records in it, the history.</t>
  </si>
  <si>
    <t xml:space="preserve">step-08.png</t>
  </si>
  <si>
    <t xml:space="preserve">C-09</t>
  </si>
  <si>
    <t xml:space="preserve">As the assistant, prepare and register a new incoming record with the subject shown, then try to file it into the closed dossier.</t>
  </si>
  <si>
    <t xml:space="preserve">Subject: Late binnengekomen brief</t>
  </si>
  <si>
    <t xml:space="preserve">step-09.png</t>
  </si>
  <si>
    <t xml:space="preserve">C-10</t>
  </si>
  <si>
    <t xml:space="preserve">As the Directeur, try to change the responsible person or the due date on the closed dossier.</t>
  </si>
  <si>
    <t xml:space="preserve">step-10.png</t>
  </si>
  <si>
    <t xml:space="preserve">C-11</t>
  </si>
  <si>
    <t xml:space="preserve">Still as the Directeur, look for a control that reopens the WORK (the workflow Reopen) on the closed dossier.</t>
  </si>
  <si>
    <t xml:space="preserve">step-11.png</t>
  </si>
  <si>
    <t xml:space="preserve">C-12</t>
  </si>
  <si>
    <t xml:space="preserve">Click 'Reopen dossier' with the box empty. Then type the reason shown and click it again.</t>
  </si>
  <si>
    <t xml:space="preserve">Reason: Bezwaar ontvangen</t>
  </si>
  <si>
    <t xml:space="preserve">step-12.png</t>
  </si>
  <si>
    <t xml:space="preserve">C-13</t>
  </si>
  <si>
    <t xml:space="preserve">Open 'Read the full history of this matter'. Find the closing and the reopening. Copy both lines word for word.</t>
  </si>
  <si>
    <t xml:space="preserve">step-13.png</t>
  </si>
  <si>
    <t xml:space="preserve">C-14</t>
  </si>
  <si>
    <t xml:space="preserve">With the dossier reopened, file the record from step 9 into it.</t>
  </si>
  <si>
    <t xml:space="preserve">step-14.png</t>
  </si>
  <si>
    <t xml:space="preserve">C-15</t>
  </si>
  <si>
    <t xml:space="preserve">Read the whole history from the top. Write down whether it reads in time order and whether anything appears twice.</t>
  </si>
  <si>
    <t xml:space="preserve">step-15.png</t>
  </si>
  <si>
    <t xml:space="preserve">C-16</t>
  </si>
  <si>
    <t xml:space="preserve">Look at the bottom of the history. If a 'Show more' button is there, click it until it disappears, then say how many entries you ended with.</t>
  </si>
  <si>
    <t xml:space="preserve">step-16.png</t>
  </si>
  <si>
    <t xml:space="preserve">C-17</t>
  </si>
  <si>
    <t xml:space="preserve">As the Directeur, change the due date on the dossier and give exactly the reason shown, including the = sign.</t>
  </si>
  <si>
    <t xml:space="preserve">Reason: =SUM(1+1) uitstel</t>
  </si>
  <si>
    <t xml:space="preserve">step-17.png</t>
  </si>
  <si>
    <t xml:space="preserve">C-18</t>
  </si>
  <si>
    <t xml:space="preserve">In the history panel, click 'Download as CSV' and open the downloaded file in Excel or LibreOffice.</t>
  </si>
  <si>
    <t xml:space="preserve">step-18.png</t>
  </si>
  <si>
    <t xml:space="preserve">C-19</t>
  </si>
  <si>
    <t xml:space="preserve">In the opened file, find the row for the due-date change from step 17. Write down exactly what the Detail cell shows.</t>
  </si>
  <si>
    <t xml:space="preserve">step-19.png</t>
  </si>
  <si>
    <t xml:space="preserve">C-20</t>
  </si>
  <si>
    <t xml:space="preserve">Count the entry rows in the file (below the column headings) and compare with the 'Entries' number at the top of the same file.</t>
  </si>
  <si>
    <t xml:space="preserve">step-20.png</t>
  </si>
  <si>
    <t xml:space="preserve">C-21</t>
  </si>
  <si>
    <t xml:space="preserve">Sign in as the administrator and try to open the same dossier's history and download.</t>
  </si>
  <si>
    <t xml:space="preserve">sysadmin@juspol.test</t>
  </si>
  <si>
    <t xml:space="preserve">step-21.png</t>
  </si>
  <si>
    <t xml:space="preserve">C-22</t>
  </si>
  <si>
    <t xml:space="preserve">As the assistant, prepare a new incoming record with exactly the same subject and sender as the record you registered in step 9, and click Register.</t>
  </si>
  <si>
    <t xml:space="preserve">Subject: Late binnengekomen brief  /  Sender: the same as step 9</t>
  </si>
  <si>
    <t xml:space="preserve">step-22.png</t>
  </si>
  <si>
    <t xml:space="preserve">C-23</t>
  </si>
  <si>
    <t xml:space="preserve">Choose to go ahead with the registration. Then write down the references of BOTH records and how many records the registry now lists.</t>
  </si>
  <si>
    <t xml:space="preserve">step-23.png</t>
  </si>
  <si>
    <t xml:space="preserve">C-24</t>
  </si>
  <si>
    <t xml:space="preserve">OCR ONLY - skip if not switched on. Capture a scanned image (jpg or png) against a draft, then click 'Read text (OCR)'.</t>
  </si>
  <si>
    <t xml:space="preserve">(use any scanned page with clear printed text)</t>
  </si>
  <si>
    <t xml:space="preserve">step-24.png</t>
  </si>
  <si>
    <t xml:space="preserve">C-25</t>
  </si>
  <si>
    <t xml:space="preserve">OCR ONLY - skip if not switched on. Capture a PDF that came from a scanner (a picture of a page, not a typed PDF) and click 'Read text (OCR)'.</t>
  </si>
  <si>
    <t xml:space="preserve">(use a scanned PDF)</t>
  </si>
  <si>
    <t xml:space="preserve">step-25.png</t>
  </si>
  <si>
    <t xml:space="preserve">C-26</t>
  </si>
  <si>
    <t xml:space="preserve">OCR ONLY - skip if not switched on. Capture a normal typed PDF (for example one printed to PDF from Word) and click 'Read text (OCR)'.</t>
  </si>
  <si>
    <t xml:space="preserve">(use a typed PDF)</t>
  </si>
  <si>
    <t xml:space="preserve">step-26.png</t>
  </si>
  <si>
    <t xml:space="preserve">Reference</t>
  </si>
  <si>
    <t xml:space="preserve">Email (username)</t>
  </si>
  <si>
    <t xml:space="preserve">Person</t>
  </si>
  <si>
    <t xml:space="preserve">Use it for</t>
  </si>
  <si>
    <t xml:space="preserve">SYN-USER-01</t>
  </si>
  <si>
    <t xml:space="preserve">L. Amatredjo</t>
  </si>
  <si>
    <t xml:space="preserve">Support staff. Prepares, registers, files and submits. Steps 1, 2, 6, 8, 9, 22, 23 and the OCR steps 24 to 26.</t>
  </si>
  <si>
    <t xml:space="preserve">SYN-DIR-01</t>
  </si>
  <si>
    <t xml:space="preserve">M. Sardjoe</t>
  </si>
  <si>
    <t xml:space="preserve">Directeur. Approves, finalises, closes and reopens the dossier. Steps 3 to 7, 10 to 20.</t>
  </si>
  <si>
    <t xml:space="preserve">SYN-ADMIN-01</t>
  </si>
  <si>
    <t xml:space="preserve">V. Ramlal</t>
  </si>
  <si>
    <t xml:space="preserve">System administrator. Step 21 only.</t>
  </si>
  <si>
    <t xml:space="preserve">SYN-ODIR-01</t>
  </si>
  <si>
    <t xml:space="preserve">onderdirecteur@juspol.test</t>
  </si>
  <si>
    <t xml:space="preserve">A. Boldewijn</t>
  </si>
  <si>
    <t xml:space="preserve">Onder-Directeur. Not needed unless a step says so.</t>
  </si>
  <si>
    <t xml:space="preserve">SYN-USER-02</t>
  </si>
  <si>
    <t xml:space="preserve">assistant2@juspol.test</t>
  </si>
  <si>
    <t xml:space="preserve">K. Pawironadi</t>
  </si>
  <si>
    <t xml:space="preserve">Second support staff. Spare.</t>
  </si>
  <si>
    <t xml:space="preserve">The password for every account is JusPol!Test2026</t>
  </si>
  <si>
    <t xml:space="preserve">WHAT THIS BUILD DOES NOT DO</t>
  </si>
  <si>
    <t xml:space="preserve">Read this before reporting anything below as a fault.</t>
  </si>
  <si>
    <t xml:space="preserve">Everyone still sees everything</t>
  </si>
  <si>
    <t xml:space="preserve">Record-level permission rules are not built. Any member of staff can see every record and dossier. This is the next piece of work and it waits on a Ministry decision.</t>
  </si>
  <si>
    <t xml:space="preserve">No search</t>
  </si>
  <si>
    <t xml:space="preserve">There is no way to search the registry. Reading and downloading a matter's history is as far as retrieval goes in this build.</t>
  </si>
  <si>
    <t xml:space="preserve">No Reject button</t>
  </si>
  <si>
    <t xml:space="preserve">Only Approve and Return for Correction exist.</t>
  </si>
  <si>
    <t xml:space="preserve">A scanned PDF gives no text</t>
  </si>
  <si>
    <t xml:space="preserve">If text reading is on, a PDF that is a picture of a page reads as empty and says so. Reading the page image inside a PDF is not built.</t>
  </si>
  <si>
    <t xml:space="preserve">No notifications or reminders</t>
  </si>
  <si>
    <t xml:space="preserve">Nobody is told that a matter was sent to them. You must look.</t>
  </si>
  <si>
    <t xml:space="preserve">Closing needs a finalised matter</t>
  </si>
  <si>
    <t xml:space="preserve">A dossier can only be closed once its matter is finalised. Being refused before that is correct behaviour.</t>
  </si>
  <si>
    <t xml:space="preserve">Duplicate warning is only a warning</t>
  </si>
  <si>
    <t xml:space="preserve">It never blocks registration and never merges anything. If no warning appears where you expected one, record it as an observation rather than a fault.</t>
  </si>
  <si>
    <t xml:space="preserve">References are placeholders</t>
  </si>
  <si>
    <t xml:space="preserve">Formats such as IN-2026-00001 and DOS-2026-0001 are stand-ins until the Ministry decides the real numbering.</t>
  </si>
  <si>
    <t xml:space="preserve">Expected outcome</t>
  </si>
  <si>
    <t xml:space="preserve">Requirement</t>
  </si>
  <si>
    <t xml:space="preserve">Escalate to a senior reviewer if</t>
  </si>
  <si>
    <t xml:space="preserve">A dossier reference is assigned by the system, in the form DOS-2026-nnnn. The dossier shows as Open.</t>
  </si>
  <si>
    <t xml:space="preserve">FR-DOS-001, FR-DOS-002, FR-DOS-006</t>
  </si>
  <si>
    <t xml:space="preserve">No reference is assigned, or you are asked to type one.</t>
  </si>
  <si>
    <t xml:space="preserve">A message confirming it was submitted. The processing state reads 'Under review'.</t>
  </si>
  <si>
    <t xml:space="preserve">FR-WFL-002</t>
  </si>
  <si>
    <t xml:space="preserve">The matter can be sent to someone with no review authority, or to yourself.</t>
  </si>
  <si>
    <t xml:space="preserve">A confirmation is asked for, then the state reads 'Approved'.</t>
  </si>
  <si>
    <t xml:space="preserve">FR-WFL-006</t>
  </si>
  <si>
    <t xml:space="preserve">Approval happens with no confirmation step.</t>
  </si>
  <si>
    <t xml:space="preserve">The state reads 'Finalised' and a note says the matter is protected from ordinary change.</t>
  </si>
  <si>
    <t xml:space="preserve">FR-FIN-001, FR-FIN-003</t>
  </si>
  <si>
    <t xml:space="preserve">Finalise was offered before approval, or is offered to support staff.</t>
  </si>
  <si>
    <t xml:space="preserve">The Dossier line reads 'Open'. A 'Close dossier' button is visible to the Directeur.</t>
  </si>
  <si>
    <t xml:space="preserve">FR-DOS-006</t>
  </si>
  <si>
    <t xml:space="preserve">No Close dossier button appears for the Directeur.</t>
  </si>
  <si>
    <t xml:space="preserve">There is NO Close dossier button for support staff.</t>
  </si>
  <si>
    <t xml:space="preserve">FR-DOS-006, closure authority (open decision)</t>
  </si>
  <si>
    <t xml:space="preserve">Support staff are offered Close dossier. Closing is a decision, not preparation.</t>
  </si>
  <si>
    <t xml:space="preserve">A confirmation warning that the dossier stays readable but cannot be changed, then a message saying the dossier is closed. The Dossier line reads 'Closed'.</t>
  </si>
  <si>
    <t xml:space="preserve">FR-DOS-006, FR-FIN-002</t>
  </si>
  <si>
    <t xml:space="preserve">The dossier closes with no confirmation, or the state does not change.</t>
  </si>
  <si>
    <t xml:space="preserve">Everything is still readable. Nothing is hidden by the closure.</t>
  </si>
  <si>
    <t xml:space="preserve">FR-DOS-007</t>
  </si>
  <si>
    <t xml:space="preserve">The closed dossier cannot be opened or read at all. Closing must not hide the record.</t>
  </si>
  <si>
    <t xml:space="preserve">The system refuses, with a message saying the dossier is closed and must be reopened first.</t>
  </si>
  <si>
    <t xml:space="preserve">The record is filed into the closed dossier.</t>
  </si>
  <si>
    <t xml:space="preserve">Refused, with the same kind of message naming the closure.</t>
  </si>
  <si>
    <t xml:space="preserve">The change is accepted. A closed file must not change.</t>
  </si>
  <si>
    <t xml:space="preserve">There is no workflow Reopen while the dossier is closed. Instead the panel explains the closure and offers 'Reopen dossier'.</t>
  </si>
  <si>
    <t xml:space="preserve">FR-DOS-007, FR-FIN-004</t>
  </si>
  <si>
    <t xml:space="preserve">Both reopen controls appear at once. Two different reopenings must not be offered as if they were the same thing.</t>
  </si>
  <si>
    <t xml:space="preserve">With an empty box the button cannot be used. With the reason typed, the dossier reopens and the Dossier line reads 'Reopened'.</t>
  </si>
  <si>
    <t xml:space="preserve">FR-DOS-008, FR-FIN-004</t>
  </si>
  <si>
    <t xml:space="preserve">A dossier reopens with no reason recorded.</t>
  </si>
  <si>
    <t xml:space="preserve">Both appear, in order: 'Dossier closed' with the reason Zaak afgehandeld, then 'Dossier reopened' with the reason Bezwaar ontvangen. Each names M. Sardjoe.</t>
  </si>
  <si>
    <t xml:space="preserve">FR-DOS-008, FR-AUD-001, FR-AUD-002</t>
  </si>
  <si>
    <t xml:space="preserve">The closure is missing. Reopening must never erase the closure it follows.</t>
  </si>
  <si>
    <t xml:space="preserve">It is accepted now.</t>
  </si>
  <si>
    <t xml:space="preserve">FR-DOS-003</t>
  </si>
  <si>
    <t xml:space="preserve">Still refused after reopening.</t>
  </si>
  <si>
    <t xml:space="preserve">One chronological account, oldest first, nothing repeated.</t>
  </si>
  <si>
    <t xml:space="preserve">FR-AUD-002, FR-AUD-003</t>
  </si>
  <si>
    <t xml:space="preserve">An entry appears twice, or the order jumps about.</t>
  </si>
  <si>
    <t xml:space="preserve">Either no Show more button (this matter is short), or it loads further entries and then disappears. The count in the button matches what you can see.</t>
  </si>
  <si>
    <t xml:space="preserve">Timeline paging (V0.1.14)</t>
  </si>
  <si>
    <t xml:space="preserve">Show more reloads the same entries again.</t>
  </si>
  <si>
    <t xml:space="preserve">The reason is accepted and shown as ordinary text in the history.</t>
  </si>
  <si>
    <t xml:space="preserve">FR-OWN-005, FR-OWN-006</t>
  </si>
  <si>
    <t xml:space="preserve">The reason is refused or silently altered.</t>
  </si>
  <si>
    <t xml:space="preserve">A file named after the dossier reference opens. The first lines name the dossier, the subject, who exported it and when.</t>
  </si>
  <si>
    <t xml:space="preserve">Timeline export (V0.1.14)</t>
  </si>
  <si>
    <t xml:space="preserve">The file will not open, or does not say who exported it.</t>
  </si>
  <si>
    <t xml:space="preserve">The cell shows the text with an apostrophe in front: '=SUM(1+1) uitstel. It must NOT show 2 or any calculated number.</t>
  </si>
  <si>
    <t xml:space="preserve">Export safety (CSV injection)</t>
  </si>
  <si>
    <t xml:space="preserve">The cell shows a calculated value. Typed text must never run as a formula in an export.</t>
  </si>
  <si>
    <t xml:space="preserve">The two numbers are the same.</t>
  </si>
  <si>
    <t xml:space="preserve">The file is missing entries you can see on the screen.</t>
  </si>
  <si>
    <t xml:space="preserve">The administrator cannot reach the matter or its history at all.</t>
  </si>
  <si>
    <t xml:space="preserve">FR-SEC-010</t>
  </si>
  <si>
    <t xml:space="preserve">The administrator can read record content. Administration must not be a way into the registry.</t>
  </si>
  <si>
    <t xml:space="preserve">Before registering, a message names the already-registered record by its reference, says why it looks like a duplicate, and says that registering creates a separate record and nothing is merged.</t>
  </si>
  <si>
    <t xml:space="preserve">FR-COR-016</t>
  </si>
  <si>
    <t xml:space="preserve">No warning at all - record it as an observation, the warning is optional. Or: registration is blocked, which it must not be.</t>
  </si>
  <si>
    <t xml:space="preserve">Two records exist with two different references. The registry count went up by exactly one. The first record is unchanged.</t>
  </si>
  <si>
    <t xml:space="preserve">FR-COR-016, BR-003</t>
  </si>
  <si>
    <t xml:space="preserve">The two records were merged, or the first record changed in any way.</t>
  </si>
  <si>
    <t xml:space="preserve">Text appears, with a line saying it was read from the scan and is not the document itself. The document link above still opens the original.</t>
  </si>
  <si>
    <t xml:space="preserve">FR-COR-015</t>
  </si>
  <si>
    <t xml:space="preserve">The read text is presented as the document, or the original can no longer be opened.</t>
  </si>
  <si>
    <t xml:space="preserve">A message saying the PDF carries no text layer and is probably a scan. This is expected, not a fault.</t>
  </si>
  <si>
    <t xml:space="preserve">FR-COR-015 (known gap)</t>
  </si>
  <si>
    <t xml:space="preserve">An error is shown instead, or the document itself fails to open.</t>
  </si>
  <si>
    <t xml:space="preserve">The text of the document appears, matching the PDF exactly.</t>
  </si>
  <si>
    <t xml:space="preserve">The text differs from what the PDF says.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</si>
</sst>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5A6273"/>
      <name val="Arial"/>
      <family val="0"/>
      <charset val="1"/>
    </font>
    <font>
      <sz val="11"/>
      <color rgb="FF000000"/>
      <name val="Arial"/>
      <family val="0"/>
      <charset val="1"/>
    </font>
    <font>
      <b val="true"/>
      <sz val="14"/>
      <name val="Arial"/>
      <family val="0"/>
      <charset val="1"/>
    </font>
  </fonts>
  <fills count="5">
    <fill>
      <patternFill patternType="none"/>
    </fill>
    <fill>
      <patternFill patternType="gray125"/>
    </fill>
    <fill>
      <patternFill patternType="solid">
        <fgColor rgb="FF1B2A4A"/>
        <bgColor rgb="FF003366"/>
      </patternFill>
    </fill>
    <fill>
      <patternFill patternType="solid">
        <fgColor rgb="FFEEF1F6"/>
        <bgColor rgb="FFFFFFFF"/>
      </patternFill>
    </fill>
    <fill>
      <patternFill patternType="solid">
        <fgColor rgb="FFFFF9D6"/>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6"/>
      <rgbColor rgb="FFEEF1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273"/>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6"/>
  </cols>
  <sheetData>
    <row r="1" customFormat="false" ht="19.7" hidden="false" customHeight="false" outlineLevel="0" collapsed="false">
      <c r="A1" s="1" t="s">
        <v>0</v>
      </c>
    </row>
    <row r="2" customFormat="false" ht="15" hidden="false" customHeight="false" outlineLevel="0" collapsed="false">
      <c r="A2" s="2" t="s">
        <v>1</v>
      </c>
    </row>
    <row r="4" customFormat="false" ht="42" hidden="false" customHeight="true" outlineLevel="0" collapsed="false">
      <c r="A4" s="2" t="s">
        <v>2</v>
      </c>
      <c r="B4" s="3" t="s">
        <v>3</v>
      </c>
    </row>
    <row r="5" customFormat="false" ht="42" hidden="false" customHeight="true" outlineLevel="0" collapsed="false">
      <c r="A5" s="2" t="s">
        <v>4</v>
      </c>
      <c r="B5" s="3" t="s">
        <v>5</v>
      </c>
    </row>
    <row r="6" customFormat="false" ht="42" hidden="false" customHeight="true" outlineLevel="0" collapsed="false">
      <c r="A6" s="2" t="s">
        <v>6</v>
      </c>
      <c r="B6" s="3" t="s">
        <v>7</v>
      </c>
    </row>
    <row r="7" customFormat="false" ht="42" hidden="false" customHeight="true" outlineLevel="0" collapsed="false">
      <c r="A7" s="2" t="s">
        <v>8</v>
      </c>
      <c r="B7" s="3" t="s">
        <v>9</v>
      </c>
    </row>
    <row r="8" customFormat="false" ht="42" hidden="false" customHeight="true" outlineLevel="0" collapsed="false">
      <c r="A8" s="2" t="s">
        <v>10</v>
      </c>
      <c r="B8" s="3" t="s">
        <v>11</v>
      </c>
    </row>
    <row r="9" customFormat="false" ht="42" hidden="false" customHeight="true" outlineLevel="0" collapsed="false">
      <c r="A9" s="2" t="s">
        <v>12</v>
      </c>
      <c r="B9" s="3" t="s">
        <v>13</v>
      </c>
    </row>
    <row r="10" customFormat="false" ht="42" hidden="false" customHeight="true" outlineLevel="0" collapsed="false">
      <c r="A10" s="2" t="s">
        <v>14</v>
      </c>
      <c r="B10" s="3" t="s">
        <v>15</v>
      </c>
    </row>
    <row r="11" customFormat="false" ht="42" hidden="false" customHeight="true" outlineLevel="0" collapsed="false">
      <c r="A11" s="2" t="s">
        <v>16</v>
      </c>
      <c r="B11" s="3" t="s">
        <v>17</v>
      </c>
    </row>
    <row r="12" customFormat="false" ht="42" hidden="false" customHeight="true" outlineLevel="0" collapsed="false">
      <c r="A12" s="2" t="s">
        <v>18</v>
      </c>
      <c r="B12" s="3" t="s">
        <v>19</v>
      </c>
    </row>
    <row r="13" customFormat="false" ht="42" hidden="false" customHeight="true" outlineLevel="0" collapsed="false">
      <c r="A13" s="2" t="s">
        <v>20</v>
      </c>
      <c r="B13" s="3" t="s">
        <v>21</v>
      </c>
    </row>
    <row r="14" customFormat="false" ht="42" hidden="false" customHeight="true" outlineLevel="0" collapsed="false">
      <c r="A14" s="2" t="s">
        <v>22</v>
      </c>
      <c r="B14" s="3" t="s">
        <v>23</v>
      </c>
    </row>
    <row r="16" customFormat="false" ht="15" hidden="false" customHeight="false" outlineLevel="0" collapsed="false">
      <c r="A16" s="2" t="s">
        <v>24</v>
      </c>
    </row>
    <row r="17" customFormat="false" ht="15" hidden="false" customHeight="false" outlineLevel="0" collapsed="false">
      <c r="A17" s="4" t="s">
        <v>25</v>
      </c>
      <c r="B17" s="4" t="n">
        <f aca="false">COUNTIF('Test Steps'!F:F,"PASS")</f>
        <v>1</v>
      </c>
    </row>
    <row r="18" customFormat="false" ht="15" hidden="false" customHeight="false" outlineLevel="0" collapsed="false">
      <c r="A18" s="4" t="s">
        <v>26</v>
      </c>
      <c r="B18" s="4" t="n">
        <f aca="false">COUNTIF('Test Steps'!F:F,"FAIL")</f>
        <v>0</v>
      </c>
    </row>
    <row r="19" customFormat="false" ht="15" hidden="false" customHeight="false" outlineLevel="0" collapsed="false">
      <c r="A19" s="4" t="s">
        <v>27</v>
      </c>
      <c r="B19" s="4" t="n">
        <f aca="false">COUNTIF('Test Steps'!F:F,"BLOCKED")</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58"/>
    <col collapsed="false" customWidth="true" hidden="false" outlineLevel="0" max="4" min="4" style="0" width="34"/>
    <col collapsed="false" customWidth="true" hidden="false" outlineLevel="0" max="5" min="5" style="0" width="42"/>
    <col collapsed="false" customWidth="true" hidden="false" outlineLevel="0" max="6" min="6" style="0" width="17"/>
    <col collapsed="false" customWidth="true" hidden="false" outlineLevel="0" max="7" min="7" style="0" width="22"/>
  </cols>
  <sheetData>
    <row r="1" customFormat="false" ht="31.5" hidden="false" customHeight="true" outlineLevel="0" collapsed="false">
      <c r="A1" s="5" t="s">
        <v>28</v>
      </c>
      <c r="B1" s="5" t="s">
        <v>29</v>
      </c>
      <c r="C1" s="5" t="s">
        <v>30</v>
      </c>
      <c r="D1" s="5" t="s">
        <v>31</v>
      </c>
      <c r="E1" s="5" t="s">
        <v>32</v>
      </c>
      <c r="F1" s="5" t="s">
        <v>33</v>
      </c>
      <c r="G1" s="5" t="s">
        <v>34</v>
      </c>
    </row>
    <row r="2" customFormat="false" ht="26.85" hidden="false" customHeight="false" outlineLevel="0" collapsed="false">
      <c r="A2" s="6" t="s">
        <v>35</v>
      </c>
      <c r="B2" s="6" t="s">
        <v>36</v>
      </c>
      <c r="C2" s="6" t="s">
        <v>37</v>
      </c>
      <c r="D2" s="6" t="s">
        <v>38</v>
      </c>
      <c r="E2" s="6" t="s">
        <v>39</v>
      </c>
      <c r="F2" s="6" t="s">
        <v>40</v>
      </c>
      <c r="G2" s="6" t="s">
        <v>41</v>
      </c>
    </row>
    <row r="3" customFormat="false" ht="57.75" hidden="false" customHeight="true" outlineLevel="0" collapsed="false">
      <c r="A3" s="3" t="n">
        <v>1</v>
      </c>
      <c r="B3" s="3" t="s">
        <v>42</v>
      </c>
      <c r="C3" s="3" t="s">
        <v>43</v>
      </c>
      <c r="D3" s="3" t="s">
        <v>44</v>
      </c>
      <c r="E3" s="7"/>
      <c r="F3" s="7"/>
      <c r="G3" s="3" t="s">
        <v>45</v>
      </c>
    </row>
    <row r="4" customFormat="false" ht="57.75" hidden="false" customHeight="true" outlineLevel="0" collapsed="false">
      <c r="A4" s="3" t="n">
        <v>2</v>
      </c>
      <c r="B4" s="3" t="s">
        <v>46</v>
      </c>
      <c r="C4" s="3" t="s">
        <v>47</v>
      </c>
      <c r="D4" s="3" t="s">
        <v>48</v>
      </c>
      <c r="E4" s="7"/>
      <c r="F4" s="7"/>
      <c r="G4" s="3" t="s">
        <v>49</v>
      </c>
    </row>
    <row r="5" customFormat="false" ht="57.75" hidden="false" customHeight="true" outlineLevel="0" collapsed="false">
      <c r="A5" s="3" t="n">
        <v>3</v>
      </c>
      <c r="B5" s="3" t="s">
        <v>50</v>
      </c>
      <c r="C5" s="3" t="s">
        <v>51</v>
      </c>
      <c r="D5" s="3" t="s">
        <v>52</v>
      </c>
      <c r="E5" s="7"/>
      <c r="F5" s="7"/>
      <c r="G5" s="3" t="s">
        <v>53</v>
      </c>
    </row>
    <row r="6" customFormat="false" ht="57.75" hidden="false" customHeight="true" outlineLevel="0" collapsed="false">
      <c r="A6" s="3" t="n">
        <v>4</v>
      </c>
      <c r="B6" s="3" t="s">
        <v>54</v>
      </c>
      <c r="C6" s="3" t="s">
        <v>55</v>
      </c>
      <c r="D6" s="3" t="s">
        <v>38</v>
      </c>
      <c r="E6" s="7"/>
      <c r="F6" s="7"/>
      <c r="G6" s="3" t="s">
        <v>56</v>
      </c>
    </row>
    <row r="7" customFormat="false" ht="57.75" hidden="false" customHeight="true" outlineLevel="0" collapsed="false">
      <c r="A7" s="3" t="n">
        <v>5</v>
      </c>
      <c r="B7" s="3" t="s">
        <v>57</v>
      </c>
      <c r="C7" s="3" t="s">
        <v>58</v>
      </c>
      <c r="D7" s="3" t="s">
        <v>38</v>
      </c>
      <c r="E7" s="7"/>
      <c r="F7" s="7"/>
      <c r="G7" s="3" t="s">
        <v>59</v>
      </c>
    </row>
    <row r="8" customFormat="false" ht="57.75" hidden="false" customHeight="true" outlineLevel="0" collapsed="false">
      <c r="A8" s="3" t="n">
        <v>6</v>
      </c>
      <c r="B8" s="3" t="s">
        <v>60</v>
      </c>
      <c r="C8" s="3" t="s">
        <v>61</v>
      </c>
      <c r="D8" s="3" t="s">
        <v>62</v>
      </c>
      <c r="E8" s="7"/>
      <c r="F8" s="7"/>
      <c r="G8" s="3" t="s">
        <v>63</v>
      </c>
    </row>
    <row r="9" customFormat="false" ht="57.75" hidden="false" customHeight="true" outlineLevel="0" collapsed="false">
      <c r="A9" s="3" t="n">
        <v>7</v>
      </c>
      <c r="B9" s="3" t="s">
        <v>64</v>
      </c>
      <c r="C9" s="3" t="s">
        <v>65</v>
      </c>
      <c r="D9" s="3" t="s">
        <v>66</v>
      </c>
      <c r="E9" s="7"/>
      <c r="F9" s="7"/>
      <c r="G9" s="3" t="s">
        <v>67</v>
      </c>
    </row>
    <row r="10" customFormat="false" ht="57.75" hidden="false" customHeight="true" outlineLevel="0" collapsed="false">
      <c r="A10" s="3" t="n">
        <v>8</v>
      </c>
      <c r="B10" s="3" t="s">
        <v>68</v>
      </c>
      <c r="C10" s="3" t="s">
        <v>69</v>
      </c>
      <c r="D10" s="3" t="s">
        <v>38</v>
      </c>
      <c r="E10" s="7"/>
      <c r="F10" s="7"/>
      <c r="G10" s="3" t="s">
        <v>70</v>
      </c>
    </row>
    <row r="11" customFormat="false" ht="57.75" hidden="false" customHeight="true" outlineLevel="0" collapsed="false">
      <c r="A11" s="3" t="n">
        <v>9</v>
      </c>
      <c r="B11" s="3" t="s">
        <v>71</v>
      </c>
      <c r="C11" s="3" t="s">
        <v>72</v>
      </c>
      <c r="D11" s="3" t="s">
        <v>73</v>
      </c>
      <c r="E11" s="7"/>
      <c r="F11" s="7"/>
      <c r="G11" s="3" t="s">
        <v>74</v>
      </c>
    </row>
    <row r="12" customFormat="false" ht="57.75" hidden="false" customHeight="true" outlineLevel="0" collapsed="false">
      <c r="A12" s="3" t="n">
        <v>10</v>
      </c>
      <c r="B12" s="3" t="s">
        <v>75</v>
      </c>
      <c r="C12" s="3" t="s">
        <v>76</v>
      </c>
      <c r="D12" s="3" t="s">
        <v>38</v>
      </c>
      <c r="E12" s="7"/>
      <c r="F12" s="7"/>
      <c r="G12" s="3" t="s">
        <v>77</v>
      </c>
    </row>
    <row r="13" customFormat="false" ht="57.75" hidden="false" customHeight="true" outlineLevel="0" collapsed="false">
      <c r="A13" s="3" t="n">
        <v>11</v>
      </c>
      <c r="B13" s="3" t="s">
        <v>78</v>
      </c>
      <c r="C13" s="3" t="s">
        <v>79</v>
      </c>
      <c r="D13" s="3" t="s">
        <v>38</v>
      </c>
      <c r="E13" s="7"/>
      <c r="F13" s="7"/>
      <c r="G13" s="3" t="s">
        <v>80</v>
      </c>
    </row>
    <row r="14" customFormat="false" ht="57.75" hidden="false" customHeight="true" outlineLevel="0" collapsed="false">
      <c r="A14" s="3" t="n">
        <v>12</v>
      </c>
      <c r="B14" s="3" t="s">
        <v>81</v>
      </c>
      <c r="C14" s="3" t="s">
        <v>82</v>
      </c>
      <c r="D14" s="3" t="s">
        <v>83</v>
      </c>
      <c r="E14" s="7"/>
      <c r="F14" s="7"/>
      <c r="G14" s="3" t="s">
        <v>84</v>
      </c>
    </row>
    <row r="15" customFormat="false" ht="57.75" hidden="false" customHeight="true" outlineLevel="0" collapsed="false">
      <c r="A15" s="3" t="n">
        <v>13</v>
      </c>
      <c r="B15" s="3" t="s">
        <v>85</v>
      </c>
      <c r="C15" s="3" t="s">
        <v>86</v>
      </c>
      <c r="D15" s="3" t="s">
        <v>38</v>
      </c>
      <c r="E15" s="7"/>
      <c r="F15" s="7"/>
      <c r="G15" s="3" t="s">
        <v>87</v>
      </c>
    </row>
    <row r="16" customFormat="false" ht="57.75" hidden="false" customHeight="true" outlineLevel="0" collapsed="false">
      <c r="A16" s="3" t="n">
        <v>14</v>
      </c>
      <c r="B16" s="3" t="s">
        <v>88</v>
      </c>
      <c r="C16" s="3" t="s">
        <v>89</v>
      </c>
      <c r="D16" s="3" t="s">
        <v>38</v>
      </c>
      <c r="E16" s="7"/>
      <c r="F16" s="7"/>
      <c r="G16" s="3" t="s">
        <v>90</v>
      </c>
    </row>
    <row r="17" customFormat="false" ht="57.75" hidden="false" customHeight="true" outlineLevel="0" collapsed="false">
      <c r="A17" s="3" t="n">
        <v>15</v>
      </c>
      <c r="B17" s="3" t="s">
        <v>91</v>
      </c>
      <c r="C17" s="3" t="s">
        <v>92</v>
      </c>
      <c r="D17" s="3" t="s">
        <v>38</v>
      </c>
      <c r="E17" s="7"/>
      <c r="F17" s="7"/>
      <c r="G17" s="3" t="s">
        <v>93</v>
      </c>
    </row>
    <row r="18" customFormat="false" ht="57.75" hidden="false" customHeight="true" outlineLevel="0" collapsed="false">
      <c r="A18" s="3" t="n">
        <v>16</v>
      </c>
      <c r="B18" s="3" t="s">
        <v>94</v>
      </c>
      <c r="C18" s="3" t="s">
        <v>95</v>
      </c>
      <c r="D18" s="3" t="s">
        <v>38</v>
      </c>
      <c r="E18" s="7"/>
      <c r="F18" s="7"/>
      <c r="G18" s="3" t="s">
        <v>96</v>
      </c>
    </row>
    <row r="19" customFormat="false" ht="57.75" hidden="false" customHeight="true" outlineLevel="0" collapsed="false">
      <c r="A19" s="3" t="n">
        <v>17</v>
      </c>
      <c r="B19" s="3" t="s">
        <v>97</v>
      </c>
      <c r="C19" s="3" t="s">
        <v>98</v>
      </c>
      <c r="D19" s="3" t="s">
        <v>99</v>
      </c>
      <c r="E19" s="7"/>
      <c r="F19" s="7"/>
      <c r="G19" s="3" t="s">
        <v>100</v>
      </c>
    </row>
    <row r="20" customFormat="false" ht="57.75" hidden="false" customHeight="true" outlineLevel="0" collapsed="false">
      <c r="A20" s="3" t="n">
        <v>18</v>
      </c>
      <c r="B20" s="3" t="s">
        <v>101</v>
      </c>
      <c r="C20" s="3" t="s">
        <v>102</v>
      </c>
      <c r="D20" s="3" t="s">
        <v>38</v>
      </c>
      <c r="E20" s="7"/>
      <c r="F20" s="7"/>
      <c r="G20" s="3" t="s">
        <v>103</v>
      </c>
    </row>
    <row r="21" customFormat="false" ht="57.75" hidden="false" customHeight="true" outlineLevel="0" collapsed="false">
      <c r="A21" s="3" t="n">
        <v>19</v>
      </c>
      <c r="B21" s="3" t="s">
        <v>104</v>
      </c>
      <c r="C21" s="3" t="s">
        <v>105</v>
      </c>
      <c r="D21" s="3" t="s">
        <v>38</v>
      </c>
      <c r="E21" s="7"/>
      <c r="F21" s="7"/>
      <c r="G21" s="3" t="s">
        <v>106</v>
      </c>
    </row>
    <row r="22" customFormat="false" ht="57.75" hidden="false" customHeight="true" outlineLevel="0" collapsed="false">
      <c r="A22" s="3" t="n">
        <v>20</v>
      </c>
      <c r="B22" s="3" t="s">
        <v>107</v>
      </c>
      <c r="C22" s="3" t="s">
        <v>108</v>
      </c>
      <c r="D22" s="3" t="s">
        <v>38</v>
      </c>
      <c r="E22" s="7"/>
      <c r="F22" s="7"/>
      <c r="G22" s="3" t="s">
        <v>109</v>
      </c>
    </row>
    <row r="23" customFormat="false" ht="57.75" hidden="false" customHeight="true" outlineLevel="0" collapsed="false">
      <c r="A23" s="3" t="n">
        <v>21</v>
      </c>
      <c r="B23" s="3" t="s">
        <v>110</v>
      </c>
      <c r="C23" s="3" t="s">
        <v>111</v>
      </c>
      <c r="D23" s="3" t="s">
        <v>112</v>
      </c>
      <c r="E23" s="7"/>
      <c r="F23" s="7"/>
      <c r="G23" s="3" t="s">
        <v>113</v>
      </c>
    </row>
    <row r="24" customFormat="false" ht="57.75" hidden="false" customHeight="true" outlineLevel="0" collapsed="false">
      <c r="A24" s="3" t="n">
        <v>22</v>
      </c>
      <c r="B24" s="3" t="s">
        <v>114</v>
      </c>
      <c r="C24" s="3" t="s">
        <v>115</v>
      </c>
      <c r="D24" s="3" t="s">
        <v>116</v>
      </c>
      <c r="E24" s="7"/>
      <c r="F24" s="7"/>
      <c r="G24" s="3" t="s">
        <v>117</v>
      </c>
    </row>
    <row r="25" customFormat="false" ht="57.75" hidden="false" customHeight="true" outlineLevel="0" collapsed="false">
      <c r="A25" s="3" t="n">
        <v>23</v>
      </c>
      <c r="B25" s="3" t="s">
        <v>118</v>
      </c>
      <c r="C25" s="3" t="s">
        <v>119</v>
      </c>
      <c r="D25" s="3" t="s">
        <v>38</v>
      </c>
      <c r="E25" s="7"/>
      <c r="F25" s="7"/>
      <c r="G25" s="3" t="s">
        <v>120</v>
      </c>
    </row>
    <row r="26" customFormat="false" ht="57.75" hidden="false" customHeight="true" outlineLevel="0" collapsed="false">
      <c r="A26" s="3" t="n">
        <v>24</v>
      </c>
      <c r="B26" s="3" t="s">
        <v>121</v>
      </c>
      <c r="C26" s="3" t="s">
        <v>122</v>
      </c>
      <c r="D26" s="3" t="s">
        <v>123</v>
      </c>
      <c r="E26" s="7"/>
      <c r="F26" s="7"/>
      <c r="G26" s="3" t="s">
        <v>124</v>
      </c>
    </row>
    <row r="27" customFormat="false" ht="57.75" hidden="false" customHeight="true" outlineLevel="0" collapsed="false">
      <c r="A27" s="3" t="n">
        <v>25</v>
      </c>
      <c r="B27" s="3" t="s">
        <v>125</v>
      </c>
      <c r="C27" s="3" t="s">
        <v>126</v>
      </c>
      <c r="D27" s="3" t="s">
        <v>127</v>
      </c>
      <c r="E27" s="7"/>
      <c r="F27" s="7"/>
      <c r="G27" s="3" t="s">
        <v>128</v>
      </c>
    </row>
    <row r="28" customFormat="false" ht="57.75" hidden="false" customHeight="true" outlineLevel="0" collapsed="false">
      <c r="A28" s="3" t="n">
        <v>26</v>
      </c>
      <c r="B28" s="3" t="s">
        <v>129</v>
      </c>
      <c r="C28" s="3" t="s">
        <v>130</v>
      </c>
      <c r="D28" s="3" t="s">
        <v>131</v>
      </c>
      <c r="E28" s="7"/>
      <c r="F28" s="7"/>
      <c r="G28" s="3"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8"/>
    <col collapsed="false" customWidth="true" hidden="false" outlineLevel="0" max="4" min="4" style="0" width="70"/>
  </cols>
  <sheetData>
    <row r="1" customFormat="false" ht="15" hidden="false" customHeight="false" outlineLevel="0" collapsed="false">
      <c r="A1" s="8" t="s">
        <v>133</v>
      </c>
      <c r="B1" s="8" t="s">
        <v>134</v>
      </c>
      <c r="C1" s="8" t="s">
        <v>135</v>
      </c>
      <c r="D1" s="8" t="s">
        <v>136</v>
      </c>
    </row>
    <row r="2" customFormat="false" ht="26.85" hidden="false" customHeight="false" outlineLevel="0" collapsed="false">
      <c r="A2" s="9" t="s">
        <v>137</v>
      </c>
      <c r="B2" s="9" t="s">
        <v>62</v>
      </c>
      <c r="C2" s="9" t="s">
        <v>138</v>
      </c>
      <c r="D2" s="9" t="s">
        <v>139</v>
      </c>
    </row>
    <row r="3" customFormat="false" ht="26.85" hidden="false" customHeight="false" outlineLevel="0" collapsed="false">
      <c r="A3" s="9" t="s">
        <v>140</v>
      </c>
      <c r="B3" s="9" t="s">
        <v>52</v>
      </c>
      <c r="C3" s="9" t="s">
        <v>141</v>
      </c>
      <c r="D3" s="9" t="s">
        <v>142</v>
      </c>
    </row>
    <row r="4" customFormat="false" ht="15" hidden="false" customHeight="false" outlineLevel="0" collapsed="false">
      <c r="A4" s="9" t="s">
        <v>143</v>
      </c>
      <c r="B4" s="9" t="s">
        <v>112</v>
      </c>
      <c r="C4" s="9" t="s">
        <v>144</v>
      </c>
      <c r="D4" s="9" t="s">
        <v>145</v>
      </c>
    </row>
    <row r="5" customFormat="false" ht="15" hidden="false" customHeight="false" outlineLevel="0" collapsed="false">
      <c r="A5" s="9" t="s">
        <v>146</v>
      </c>
      <c r="B5" s="9" t="s">
        <v>147</v>
      </c>
      <c r="C5" s="9" t="s">
        <v>148</v>
      </c>
      <c r="D5" s="9" t="s">
        <v>149</v>
      </c>
    </row>
    <row r="6" customFormat="false" ht="15" hidden="false" customHeight="false" outlineLevel="0" collapsed="false">
      <c r="A6" s="9" t="s">
        <v>150</v>
      </c>
      <c r="B6" s="9" t="s">
        <v>151</v>
      </c>
      <c r="C6" s="9" t="s">
        <v>152</v>
      </c>
      <c r="D6" s="9" t="s">
        <v>153</v>
      </c>
    </row>
    <row r="8" customFormat="false" ht="15" hidden="false" customHeight="false" outlineLevel="0" collapsed="false">
      <c r="A8" s="2"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0"/>
  </cols>
  <sheetData>
    <row r="1" customFormat="false" ht="17.35" hidden="false" customHeight="false" outlineLevel="0" collapsed="false">
      <c r="A1" s="10" t="s">
        <v>155</v>
      </c>
    </row>
    <row r="3" customFormat="false" ht="15" hidden="false" customHeight="false" outlineLevel="0" collapsed="false">
      <c r="A3" s="2" t="s">
        <v>156</v>
      </c>
    </row>
    <row r="4" customFormat="false" ht="42" hidden="false" customHeight="true" outlineLevel="0" collapsed="false">
      <c r="A4" s="2" t="s">
        <v>157</v>
      </c>
      <c r="B4" s="3" t="s">
        <v>158</v>
      </c>
    </row>
    <row r="5" customFormat="false" ht="42" hidden="false" customHeight="true" outlineLevel="0" collapsed="false">
      <c r="A5" s="2" t="s">
        <v>159</v>
      </c>
      <c r="B5" s="3" t="s">
        <v>160</v>
      </c>
    </row>
    <row r="6" customFormat="false" ht="42" hidden="false" customHeight="true" outlineLevel="0" collapsed="false">
      <c r="A6" s="2" t="s">
        <v>161</v>
      </c>
      <c r="B6" s="3" t="s">
        <v>162</v>
      </c>
    </row>
    <row r="7" customFormat="false" ht="42" hidden="false" customHeight="true" outlineLevel="0" collapsed="false">
      <c r="A7" s="2" t="s">
        <v>163</v>
      </c>
      <c r="B7" s="3" t="s">
        <v>164</v>
      </c>
    </row>
    <row r="8" customFormat="false" ht="42" hidden="false" customHeight="true" outlineLevel="0" collapsed="false">
      <c r="A8" s="2" t="s">
        <v>165</v>
      </c>
      <c r="B8" s="3" t="s">
        <v>166</v>
      </c>
    </row>
    <row r="9" customFormat="false" ht="42" hidden="false" customHeight="true" outlineLevel="0" collapsed="false">
      <c r="A9" s="2" t="s">
        <v>167</v>
      </c>
      <c r="B9" s="3" t="s">
        <v>168</v>
      </c>
    </row>
    <row r="10" customFormat="false" ht="42" hidden="false" customHeight="true" outlineLevel="0" collapsed="false">
      <c r="A10" s="2" t="s">
        <v>169</v>
      </c>
      <c r="B10" s="3" t="s">
        <v>170</v>
      </c>
    </row>
    <row r="11" customFormat="false" ht="42" hidden="false" customHeight="true" outlineLevel="0" collapsed="false">
      <c r="A11" s="2" t="s">
        <v>171</v>
      </c>
      <c r="B11" s="3"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62"/>
    <col collapsed="false" customWidth="true" hidden="false" outlineLevel="0" max="4" min="4" style="0" width="34"/>
    <col collapsed="false" customWidth="true" hidden="false" outlineLevel="0" max="5" min="5" style="0" width="58"/>
  </cols>
  <sheetData>
    <row r="1" customFormat="false" ht="15" hidden="false" customHeight="false" outlineLevel="0" collapsed="false">
      <c r="A1" s="5" t="s">
        <v>28</v>
      </c>
      <c r="B1" s="5" t="s">
        <v>29</v>
      </c>
      <c r="C1" s="5" t="s">
        <v>173</v>
      </c>
      <c r="D1" s="5" t="s">
        <v>174</v>
      </c>
      <c r="E1" s="5" t="s">
        <v>175</v>
      </c>
    </row>
    <row r="2" customFormat="false" ht="51.75" hidden="false" customHeight="true" outlineLevel="0" collapsed="false">
      <c r="A2" s="3" t="n">
        <v>1</v>
      </c>
      <c r="B2" s="3" t="s">
        <v>42</v>
      </c>
      <c r="C2" s="3" t="s">
        <v>176</v>
      </c>
      <c r="D2" s="3" t="s">
        <v>177</v>
      </c>
      <c r="E2" s="3" t="s">
        <v>178</v>
      </c>
    </row>
    <row r="3" customFormat="false" ht="51.75" hidden="false" customHeight="true" outlineLevel="0" collapsed="false">
      <c r="A3" s="3" t="n">
        <v>2</v>
      </c>
      <c r="B3" s="3" t="s">
        <v>46</v>
      </c>
      <c r="C3" s="3" t="s">
        <v>179</v>
      </c>
      <c r="D3" s="3" t="s">
        <v>180</v>
      </c>
      <c r="E3" s="3" t="s">
        <v>181</v>
      </c>
    </row>
    <row r="4" customFormat="false" ht="51.75" hidden="false" customHeight="true" outlineLevel="0" collapsed="false">
      <c r="A4" s="3" t="n">
        <v>3</v>
      </c>
      <c r="B4" s="3" t="s">
        <v>50</v>
      </c>
      <c r="C4" s="3" t="s">
        <v>182</v>
      </c>
      <c r="D4" s="3" t="s">
        <v>183</v>
      </c>
      <c r="E4" s="3" t="s">
        <v>184</v>
      </c>
    </row>
    <row r="5" customFormat="false" ht="51.75" hidden="false" customHeight="true" outlineLevel="0" collapsed="false">
      <c r="A5" s="3" t="n">
        <v>4</v>
      </c>
      <c r="B5" s="3" t="s">
        <v>54</v>
      </c>
      <c r="C5" s="3" t="s">
        <v>185</v>
      </c>
      <c r="D5" s="3" t="s">
        <v>186</v>
      </c>
      <c r="E5" s="3" t="s">
        <v>187</v>
      </c>
    </row>
    <row r="6" customFormat="false" ht="51.75" hidden="false" customHeight="true" outlineLevel="0" collapsed="false">
      <c r="A6" s="3" t="n">
        <v>5</v>
      </c>
      <c r="B6" s="3" t="s">
        <v>57</v>
      </c>
      <c r="C6" s="3" t="s">
        <v>188</v>
      </c>
      <c r="D6" s="3" t="s">
        <v>189</v>
      </c>
      <c r="E6" s="3" t="s">
        <v>190</v>
      </c>
    </row>
    <row r="7" customFormat="false" ht="51.75" hidden="false" customHeight="true" outlineLevel="0" collapsed="false">
      <c r="A7" s="3" t="n">
        <v>6</v>
      </c>
      <c r="B7" s="3" t="s">
        <v>60</v>
      </c>
      <c r="C7" s="3" t="s">
        <v>191</v>
      </c>
      <c r="D7" s="3" t="s">
        <v>192</v>
      </c>
      <c r="E7" s="3" t="s">
        <v>193</v>
      </c>
    </row>
    <row r="8" customFormat="false" ht="51.75" hidden="false" customHeight="true" outlineLevel="0" collapsed="false">
      <c r="A8" s="3" t="n">
        <v>7</v>
      </c>
      <c r="B8" s="3" t="s">
        <v>64</v>
      </c>
      <c r="C8" s="3" t="s">
        <v>194</v>
      </c>
      <c r="D8" s="3" t="s">
        <v>195</v>
      </c>
      <c r="E8" s="3" t="s">
        <v>196</v>
      </c>
    </row>
    <row r="9" customFormat="false" ht="51.75" hidden="false" customHeight="true" outlineLevel="0" collapsed="false">
      <c r="A9" s="3" t="n">
        <v>8</v>
      </c>
      <c r="B9" s="3" t="s">
        <v>68</v>
      </c>
      <c r="C9" s="3" t="s">
        <v>197</v>
      </c>
      <c r="D9" s="3" t="s">
        <v>198</v>
      </c>
      <c r="E9" s="3" t="s">
        <v>199</v>
      </c>
    </row>
    <row r="10" customFormat="false" ht="51.75" hidden="false" customHeight="true" outlineLevel="0" collapsed="false">
      <c r="A10" s="3" t="n">
        <v>9</v>
      </c>
      <c r="B10" s="3" t="s">
        <v>71</v>
      </c>
      <c r="C10" s="3" t="s">
        <v>200</v>
      </c>
      <c r="D10" s="3" t="s">
        <v>198</v>
      </c>
      <c r="E10" s="3" t="s">
        <v>201</v>
      </c>
    </row>
    <row r="11" customFormat="false" ht="51.75" hidden="false" customHeight="true" outlineLevel="0" collapsed="false">
      <c r="A11" s="3" t="n">
        <v>10</v>
      </c>
      <c r="B11" s="3" t="s">
        <v>75</v>
      </c>
      <c r="C11" s="3" t="s">
        <v>202</v>
      </c>
      <c r="D11" s="3" t="s">
        <v>198</v>
      </c>
      <c r="E11" s="3" t="s">
        <v>203</v>
      </c>
    </row>
    <row r="12" customFormat="false" ht="51.75" hidden="false" customHeight="true" outlineLevel="0" collapsed="false">
      <c r="A12" s="3" t="n">
        <v>11</v>
      </c>
      <c r="B12" s="3" t="s">
        <v>78</v>
      </c>
      <c r="C12" s="3" t="s">
        <v>204</v>
      </c>
      <c r="D12" s="3" t="s">
        <v>205</v>
      </c>
      <c r="E12" s="3" t="s">
        <v>206</v>
      </c>
    </row>
    <row r="13" customFormat="false" ht="51.75" hidden="false" customHeight="true" outlineLevel="0" collapsed="false">
      <c r="A13" s="3" t="n">
        <v>12</v>
      </c>
      <c r="B13" s="3" t="s">
        <v>81</v>
      </c>
      <c r="C13" s="3" t="s">
        <v>207</v>
      </c>
      <c r="D13" s="3" t="s">
        <v>208</v>
      </c>
      <c r="E13" s="3" t="s">
        <v>209</v>
      </c>
    </row>
    <row r="14" customFormat="false" ht="51.75" hidden="false" customHeight="true" outlineLevel="0" collapsed="false">
      <c r="A14" s="3" t="n">
        <v>13</v>
      </c>
      <c r="B14" s="3" t="s">
        <v>85</v>
      </c>
      <c r="C14" s="3" t="s">
        <v>210</v>
      </c>
      <c r="D14" s="3" t="s">
        <v>211</v>
      </c>
      <c r="E14" s="3" t="s">
        <v>212</v>
      </c>
    </row>
    <row r="15" customFormat="false" ht="51.75" hidden="false" customHeight="true" outlineLevel="0" collapsed="false">
      <c r="A15" s="3" t="n">
        <v>14</v>
      </c>
      <c r="B15" s="3" t="s">
        <v>88</v>
      </c>
      <c r="C15" s="3" t="s">
        <v>213</v>
      </c>
      <c r="D15" s="3" t="s">
        <v>214</v>
      </c>
      <c r="E15" s="3" t="s">
        <v>215</v>
      </c>
    </row>
    <row r="16" customFormat="false" ht="51.75" hidden="false" customHeight="true" outlineLevel="0" collapsed="false">
      <c r="A16" s="3" t="n">
        <v>15</v>
      </c>
      <c r="B16" s="3" t="s">
        <v>91</v>
      </c>
      <c r="C16" s="3" t="s">
        <v>216</v>
      </c>
      <c r="D16" s="3" t="s">
        <v>217</v>
      </c>
      <c r="E16" s="3" t="s">
        <v>218</v>
      </c>
    </row>
    <row r="17" customFormat="false" ht="51.75" hidden="false" customHeight="true" outlineLevel="0" collapsed="false">
      <c r="A17" s="3" t="n">
        <v>16</v>
      </c>
      <c r="B17" s="3" t="s">
        <v>94</v>
      </c>
      <c r="C17" s="3" t="s">
        <v>219</v>
      </c>
      <c r="D17" s="3" t="s">
        <v>220</v>
      </c>
      <c r="E17" s="3" t="s">
        <v>221</v>
      </c>
    </row>
    <row r="18" customFormat="false" ht="51.75" hidden="false" customHeight="true" outlineLevel="0" collapsed="false">
      <c r="A18" s="3" t="n">
        <v>17</v>
      </c>
      <c r="B18" s="3" t="s">
        <v>97</v>
      </c>
      <c r="C18" s="3" t="s">
        <v>222</v>
      </c>
      <c r="D18" s="3" t="s">
        <v>223</v>
      </c>
      <c r="E18" s="3" t="s">
        <v>224</v>
      </c>
    </row>
    <row r="19" customFormat="false" ht="51.75" hidden="false" customHeight="true" outlineLevel="0" collapsed="false">
      <c r="A19" s="3" t="n">
        <v>18</v>
      </c>
      <c r="B19" s="3" t="s">
        <v>101</v>
      </c>
      <c r="C19" s="3" t="s">
        <v>225</v>
      </c>
      <c r="D19" s="3" t="s">
        <v>226</v>
      </c>
      <c r="E19" s="3" t="s">
        <v>227</v>
      </c>
    </row>
    <row r="20" customFormat="false" ht="51.75" hidden="false" customHeight="true" outlineLevel="0" collapsed="false">
      <c r="A20" s="3" t="n">
        <v>19</v>
      </c>
      <c r="B20" s="3" t="s">
        <v>104</v>
      </c>
      <c r="C20" s="3" t="s">
        <v>228</v>
      </c>
      <c r="D20" s="3" t="s">
        <v>229</v>
      </c>
      <c r="E20" s="3" t="s">
        <v>230</v>
      </c>
    </row>
    <row r="21" customFormat="false" ht="51.75" hidden="false" customHeight="true" outlineLevel="0" collapsed="false">
      <c r="A21" s="3" t="n">
        <v>20</v>
      </c>
      <c r="B21" s="3" t="s">
        <v>107</v>
      </c>
      <c r="C21" s="3" t="s">
        <v>231</v>
      </c>
      <c r="D21" s="3" t="s">
        <v>226</v>
      </c>
      <c r="E21" s="3" t="s">
        <v>232</v>
      </c>
    </row>
    <row r="22" customFormat="false" ht="51.75" hidden="false" customHeight="true" outlineLevel="0" collapsed="false">
      <c r="A22" s="3" t="n">
        <v>21</v>
      </c>
      <c r="B22" s="3" t="s">
        <v>110</v>
      </c>
      <c r="C22" s="3" t="s">
        <v>233</v>
      </c>
      <c r="D22" s="3" t="s">
        <v>234</v>
      </c>
      <c r="E22" s="3" t="s">
        <v>235</v>
      </c>
    </row>
    <row r="23" customFormat="false" ht="51.75" hidden="false" customHeight="true" outlineLevel="0" collapsed="false">
      <c r="A23" s="3" t="n">
        <v>22</v>
      </c>
      <c r="B23" s="3" t="s">
        <v>114</v>
      </c>
      <c r="C23" s="3" t="s">
        <v>236</v>
      </c>
      <c r="D23" s="3" t="s">
        <v>237</v>
      </c>
      <c r="E23" s="3" t="s">
        <v>238</v>
      </c>
    </row>
    <row r="24" customFormat="false" ht="51.75" hidden="false" customHeight="true" outlineLevel="0" collapsed="false">
      <c r="A24" s="3" t="n">
        <v>23</v>
      </c>
      <c r="B24" s="3" t="s">
        <v>118</v>
      </c>
      <c r="C24" s="3" t="s">
        <v>239</v>
      </c>
      <c r="D24" s="3" t="s">
        <v>240</v>
      </c>
      <c r="E24" s="3" t="s">
        <v>241</v>
      </c>
    </row>
    <row r="25" customFormat="false" ht="51.75" hidden="false" customHeight="true" outlineLevel="0" collapsed="false">
      <c r="A25" s="3" t="n">
        <v>24</v>
      </c>
      <c r="B25" s="3" t="s">
        <v>121</v>
      </c>
      <c r="C25" s="3" t="s">
        <v>242</v>
      </c>
      <c r="D25" s="3" t="s">
        <v>243</v>
      </c>
      <c r="E25" s="3" t="s">
        <v>244</v>
      </c>
    </row>
    <row r="26" customFormat="false" ht="51.75" hidden="false" customHeight="true" outlineLevel="0" collapsed="false">
      <c r="A26" s="3" t="n">
        <v>25</v>
      </c>
      <c r="B26" s="3" t="s">
        <v>125</v>
      </c>
      <c r="C26" s="3" t="s">
        <v>245</v>
      </c>
      <c r="D26" s="3" t="s">
        <v>246</v>
      </c>
      <c r="E26" s="3" t="s">
        <v>247</v>
      </c>
    </row>
    <row r="27" customFormat="false" ht="51.75" hidden="false" customHeight="true" outlineLevel="0" collapsed="false">
      <c r="A27" s="3" t="n">
        <v>26</v>
      </c>
      <c r="B27" s="3" t="s">
        <v>129</v>
      </c>
      <c r="C27" s="3" t="s">
        <v>248</v>
      </c>
      <c r="D27" s="3" t="s">
        <v>243</v>
      </c>
      <c r="E27" s="3" t="s">
        <v>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2026-09-20T16:59:13Z</dcterms:created>
  <dc:creator>openpyxl</dc:creator>
  <dc:description/>
  <dc:language>en-US</dc:language>
  <cp:lastModifiedBy/>
  <dcterms:modified xsi:type="dcterms:W3CDTF">2026-09-20T16:59:14Z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